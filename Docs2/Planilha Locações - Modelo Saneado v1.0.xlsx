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LISTAS" sheetId="2" state="visible" r:id="rId4"/>
    <sheet name="CONTRATOS" sheetId="3" state="visible" r:id="rId5"/>
    <sheet name="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<sst xmlns="http://schemas.openxmlformats.org/spreadsheetml/2006/main" count="202" uniqueCount="128">
  <si>
    <t xml:space="preserve">PLANILHA DE EQUIPAMENTOS LOCADOS — MODELO SANEADO v1.0</t>
  </si>
  <si>
    <t xml:space="preserve">Base de dados do Agente de Locações (demo). Julho/2026.</t>
  </si>
  <si>
    <t xml:space="preserve">Como usar</t>
  </si>
  <si>
    <t xml:space="preserve">1.</t>
  </si>
  <si>
    <t xml:space="preserve">Preencha apenas as colunas com cabeçalho AMARELO na aba CONTRATOS. As colunas cinza são calculadas automaticamente — não digite nelas.</t>
  </si>
  <si>
    <t xml:space="preserve">2.</t>
  </si>
  <si>
    <t xml:space="preserve">Campos marcados com * são OBRIGATÓRIOS. A coluna CADASTRO mostra 'FALTA: ...' enquanto algo obrigatório estiver vazio. O agente NÃO monitora contratos com cadastro incompleto — ele avisa a pendência.</t>
  </si>
  <si>
    <t xml:space="preserve">3.</t>
  </si>
  <si>
    <t xml:space="preserve">DATA INÍCIO é a data-base da cobrança (1º dia do contrato). O PRÓXIMO VENCIMENTO é calculado a partir dela conforme o CICLO.</t>
  </si>
  <si>
    <t xml:space="preserve">4.</t>
  </si>
  <si>
    <t xml:space="preserve">CICLO = DATA ESPECÍFICA exige preencher DATA FIM (ex.: locação de 1 dia para concretagem).</t>
  </si>
  <si>
    <t xml:space="preserve">5.</t>
  </si>
  <si>
    <t xml:space="preserve">SITUAÇÃO é atualizada pelo agente quando a Daniela responde no WhatsApp — mas pode ser alterada manualmente a qualquer momento.</t>
  </si>
  <si>
    <t xml:space="preserve">6.</t>
  </si>
  <si>
    <t xml:space="preserve">A aba LOG é preenchida somente pelo agente (histórico de alertas e respostas). Não edite.</t>
  </si>
  <si>
    <t xml:space="preserve">7.</t>
  </si>
  <si>
    <t xml:space="preserve">As listas suspensas (obra, fornecedor, ciclo, situação) vêm da aba LISTAS — inclua novos fornecedores/obras lá.</t>
  </si>
  <si>
    <t xml:space="preserve">Significado da coluna STATUS ALERTA</t>
  </si>
  <si>
    <t xml:space="preserve">OK</t>
  </si>
  <si>
    <t xml:space="preserve">Vencimento a mais de 5 dias. Nenhuma ação.</t>
  </si>
  <si>
    <t xml:space="preserve">ALERTAR</t>
  </si>
  <si>
    <t xml:space="preserve">Vence em 5 dias ou menos. O agente envia alerta no WhatsApp.</t>
  </si>
  <si>
    <t xml:space="preserve">VENCIDO</t>
  </si>
  <si>
    <t xml:space="preserve">Ciclo virou sem decisão registrada. Alerta com prioridade.</t>
  </si>
  <si>
    <t xml:space="preserve">DEVOLVER</t>
  </si>
  <si>
    <t xml:space="preserve">Devolução solicitada e ainda não confirmada. O agente cobra a confirmação.</t>
  </si>
  <si>
    <t xml:space="preserve">Regras de datas</t>
  </si>
  <si>
    <t xml:space="preserve">Fim de semana</t>
  </si>
  <si>
    <t xml:space="preserve">Vencimento em sábado/domingo/segunda gera alerta já na quinta-feira (evita pagar o fim de semana).</t>
  </si>
  <si>
    <t xml:space="preserve">Fonte dos dados</t>
  </si>
  <si>
    <t xml:space="preserve">Linhas de exemplo extraídas da planilha real de locações (obras ARBO e LOT. CELEBRATION), com datas ajustadas para a demo. Valores conforme planilha original — validar com a Daniela.</t>
  </si>
  <si>
    <t xml:space="preserve">OBRAS</t>
  </si>
  <si>
    <t xml:space="preserve">CICLOS</t>
  </si>
  <si>
    <t xml:space="preserve">SITUAÇÕES</t>
  </si>
  <si>
    <t xml:space="preserve">FORNECEDORES</t>
  </si>
  <si>
    <t xml:space="preserve">ARBO</t>
  </si>
  <si>
    <t xml:space="preserve">MENSAL</t>
  </si>
  <si>
    <t xml:space="preserve">EM OBRA</t>
  </si>
  <si>
    <t xml:space="preserve">LOCAFAZ</t>
  </si>
  <si>
    <t xml:space="preserve">PARADISO</t>
  </si>
  <si>
    <t xml:space="preserve">QUINZENAL</t>
  </si>
  <si>
    <t xml:space="preserve">DEVOLUÇÃO SOLICITADA</t>
  </si>
  <si>
    <t xml:space="preserve">ORIGINAL</t>
  </si>
  <si>
    <t xml:space="preserve">LOTEAMENTO CELEBRATION</t>
  </si>
  <si>
    <t xml:space="preserve">SEMANAL</t>
  </si>
  <si>
    <t xml:space="preserve">DEVOLVIDO</t>
  </si>
  <si>
    <t xml:space="preserve">LOCSOLO</t>
  </si>
  <si>
    <t xml:space="preserve">DIÁRIA</t>
  </si>
  <si>
    <t xml:space="preserve">RENOVADO</t>
  </si>
  <si>
    <t xml:space="preserve">LOCARBEM</t>
  </si>
  <si>
    <t xml:space="preserve">DATA ESPECÍFICA</t>
  </si>
  <si>
    <t xml:space="preserve">PAMPULHA ANDAIMES</t>
  </si>
  <si>
    <t xml:space="preserve">ATEX</t>
  </si>
  <si>
    <t xml:space="preserve">TUPI ANDAIMES</t>
  </si>
  <si>
    <t xml:space="preserve">MINAS LOCC</t>
  </si>
  <si>
    <t xml:space="preserve">ID</t>
  </si>
  <si>
    <t xml:space="preserve">OBRA *</t>
  </si>
  <si>
    <t xml:space="preserve">EQUIPAMENTO / MATERIAL *</t>
  </si>
  <si>
    <t xml:space="preserve">QUANT. *</t>
  </si>
  <si>
    <t xml:space="preserve">FORNECEDOR *</t>
  </si>
  <si>
    <t xml:space="preserve">Nº CONTRATO *</t>
  </si>
  <si>
    <t xml:space="preserve">VALOR DO CICLO (R$) *</t>
  </si>
  <si>
    <t xml:space="preserve">DATA INÍCIO *</t>
  </si>
  <si>
    <t xml:space="preserve">CICLO *</t>
  </si>
  <si>
    <t xml:space="preserve">DATA FIM (se ciclo = data específica)</t>
  </si>
  <si>
    <t xml:space="preserve">RESPONSÁVEL NA OBRA</t>
  </si>
  <si>
    <t xml:space="preserve">TELEFONE RESPONSÁVEL</t>
  </si>
  <si>
    <t xml:space="preserve">SITUAÇÃO *</t>
  </si>
  <si>
    <t xml:space="preserve">PRÓXIMO VENCIMENTO</t>
  </si>
  <si>
    <t xml:space="preserve">DIAS P/ VENCER</t>
  </si>
  <si>
    <t xml:space="preserve">STATUS ALERTA</t>
  </si>
  <si>
    <t xml:space="preserve">CADASTRO</t>
  </si>
  <si>
    <t xml:space="preserve">ÚLTIMA RESPOSTA (agente)</t>
  </si>
  <si>
    <t xml:space="preserve">DATA RESPOSTA (agente)</t>
  </si>
  <si>
    <t xml:space="preserve">OBSERVAÇÕES</t>
  </si>
  <si>
    <t xml:space="preserve">MARTELO DEMOLIDOR TE2000 - M20</t>
  </si>
  <si>
    <t xml:space="preserve">CS003087</t>
  </si>
  <si>
    <t xml:space="preserve">Almoxarife ARBO</t>
  </si>
  <si>
    <t xml:space="preserve">(31) 9xxxx-0001</t>
  </si>
  <si>
    <t xml:space="preserve">BOMBA SUBMERSÍVEL 3/4'' SAPO</t>
  </si>
  <si>
    <t xml:space="preserve">2253</t>
  </si>
  <si>
    <t xml:space="preserve">MINI GRUA 500KG + PAINEL NR-12</t>
  </si>
  <si>
    <t xml:space="preserve">1645</t>
  </si>
  <si>
    <t xml:space="preserve">Grua 825 + painel 90</t>
  </si>
  <si>
    <t xml:space="preserve">PERFURATRIZ DE COLUNA DD 200</t>
  </si>
  <si>
    <t xml:space="preserve">1339</t>
  </si>
  <si>
    <t xml:space="preserve">TORRE COMPLETA</t>
  </si>
  <si>
    <t xml:space="preserve">218158</t>
  </si>
  <si>
    <t xml:space="preserve">150 FORCADO SIMPLES</t>
  </si>
  <si>
    <t xml:space="preserve">220366</t>
  </si>
  <si>
    <t xml:space="preserve">Daniela: pode devolver</t>
  </si>
  <si>
    <t xml:space="preserve">Aguardando retirada</t>
  </si>
  <si>
    <t xml:space="preserve">250 ESCORAS METÁLICAS 3,10M</t>
  </si>
  <si>
    <t xml:space="preserve">6769</t>
  </si>
  <si>
    <t xml:space="preserve">BETONEIRA À GASOLINA 400L</t>
  </si>
  <si>
    <t xml:space="preserve">3936</t>
  </si>
  <si>
    <t xml:space="preserve">Almoxarife CELEBRATION</t>
  </si>
  <si>
    <t xml:space="preserve">(31) 9xxxx-0002</t>
  </si>
  <si>
    <t xml:space="preserve">CONTAINER BANHEIRO (302)</t>
  </si>
  <si>
    <t xml:space="preserve">CT-3367</t>
  </si>
  <si>
    <t xml:space="preserve">MOTOR VIBRADOR ALTA FREQUÊNCIA</t>
  </si>
  <si>
    <t xml:space="preserve">CS001218</t>
  </si>
  <si>
    <t xml:space="preserve">Concretagem de sábado — devolver segunda cedo</t>
  </si>
  <si>
    <t xml:space="preserve">CW182296</t>
  </si>
  <si>
    <t xml:space="preserve">EXEMPLO: falta DATA INÍCIO — corrigir com a NF</t>
  </si>
  <si>
    <t xml:space="preserve">30M DE CONDUTOR DE ENTULHO</t>
  </si>
  <si>
    <t xml:space="preserve">219793</t>
  </si>
  <si>
    <t xml:space="preserve">EXEMPLO: falta CICLO (data original digitada errada: '3117')</t>
  </si>
  <si>
    <t xml:space="preserve">DATA/HORA</t>
  </si>
  <si>
    <t xml:space="preserve">ID CONTRATO</t>
  </si>
  <si>
    <t xml:space="preserve">Nº CONTRATO</t>
  </si>
  <si>
    <t xml:space="preserve">EVENTO</t>
  </si>
  <si>
    <t xml:space="preserve">DETALHE</t>
  </si>
  <si>
    <t xml:space="preserve">CANAL</t>
  </si>
  <si>
    <t xml:space="preserve">AUTOR</t>
  </si>
  <si>
    <t xml:space="preserve">15/07/2026 07:00</t>
  </si>
  <si>
    <t xml:space="preserve">ALERTA ENVIADO</t>
  </si>
  <si>
    <t xml:space="preserve">TORRE COMPLETA (LOCSOLO) renova em 26/07 — R$ 1.298,50. Devolver ou renovar?</t>
  </si>
  <si>
    <t xml:space="preserve">WhatsApp</t>
  </si>
  <si>
    <t xml:space="preserve">Agente</t>
  </si>
  <si>
    <t xml:space="preserve">15/07/2026 08:12</t>
  </si>
  <si>
    <t xml:space="preserve">RESPOSTA RECEBIDA</t>
  </si>
  <si>
    <t xml:space="preserve">“pode devolver, obra já desmontou”</t>
  </si>
  <si>
    <t xml:space="preserve">Daniela</t>
  </si>
  <si>
    <t xml:space="preserve">STATUS ALTERADO</t>
  </si>
  <si>
    <t xml:space="preserve">EM OBRA → DEVOLUÇÃO SOLICITADA</t>
  </si>
  <si>
    <t xml:space="preserve">Sistema</t>
  </si>
  <si>
    <t xml:space="preserve">(linhas acima são exemplo ilustrativo — o agente preenche esta aba automaticamente)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</si>
</sst>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yy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6B52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6B52"/>
        <bgColor rgb="FF008080"/>
      </patternFill>
    </fill>
    <fill>
      <patternFill patternType="solid">
        <fgColor rgb="FFD9D9D9"/>
        <bgColor rgb="FFD9EAD3"/>
      </patternFill>
    </fill>
    <fill>
      <patternFill patternType="solid">
        <fgColor rgb="FFFFD966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990000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B45F06"/>
      </font>
      <fill>
        <patternFill>
          <bgColor rgb="FFFCE5CD"/>
        </patternFill>
      </fill>
    </dxf>
    <dxf>
      <font>
        <color rgb="FF274E13"/>
      </font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7F6000"/>
      <rgbColor rgb="FF800080"/>
      <rgbColor rgb="FF1E6B52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D966"/>
      <rgbColor rgb="FFFF9900"/>
      <rgbColor rgb="FFFF6600"/>
      <rgbColor rgb="FF595959"/>
      <rgbColor rgb="FF969696"/>
      <rgbColor rgb="FF003366"/>
      <rgbColor rgb="FF339966"/>
      <rgbColor rgb="FF003300"/>
      <rgbColor rgb="FF274E13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4" t="s">
        <v>3</v>
      </c>
      <c r="C5" s="5" t="s">
        <v>4</v>
      </c>
    </row>
    <row r="6" customFormat="false" ht="23.85" hidden="false" customHeight="false" outlineLevel="0" collapsed="false">
      <c r="B6" s="4" t="s">
        <v>5</v>
      </c>
      <c r="C6" s="5" t="s">
        <v>6</v>
      </c>
    </row>
    <row r="7" customFormat="false" ht="23.85" hidden="false" customHeight="false" outlineLevel="0" collapsed="false">
      <c r="B7" s="4" t="s">
        <v>7</v>
      </c>
      <c r="C7" s="5" t="s">
        <v>8</v>
      </c>
    </row>
    <row r="8" customFormat="false" ht="15" hidden="false" customHeight="false" outlineLevel="0" collapsed="false">
      <c r="B8" s="4" t="s">
        <v>9</v>
      </c>
      <c r="C8" s="5" t="s">
        <v>10</v>
      </c>
    </row>
    <row r="9" customFormat="false" ht="23.85" hidden="false" customHeight="false" outlineLevel="0" collapsed="false">
      <c r="B9" s="4" t="s">
        <v>11</v>
      </c>
      <c r="C9" s="5" t="s">
        <v>12</v>
      </c>
    </row>
    <row r="10" customFormat="false" ht="15" hidden="false" customHeight="false" outlineLevel="0" collapsed="false">
      <c r="B10" s="4" t="s">
        <v>13</v>
      </c>
      <c r="C10" s="5" t="s">
        <v>14</v>
      </c>
    </row>
    <row r="11" customFormat="false" ht="15" hidden="false" customHeight="false" outlineLevel="0" collapsed="false">
      <c r="B11" s="4" t="s">
        <v>15</v>
      </c>
      <c r="C11" s="5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4" t="s">
        <v>18</v>
      </c>
      <c r="C14" s="5" t="s">
        <v>19</v>
      </c>
    </row>
    <row r="15" customFormat="false" ht="15" hidden="false" customHeight="false" outlineLevel="0" collapsed="false">
      <c r="B15" s="4" t="s">
        <v>20</v>
      </c>
      <c r="C15" s="5" t="s">
        <v>21</v>
      </c>
    </row>
    <row r="16" customFormat="false" ht="15" hidden="false" customHeight="false" outlineLevel="0" collapsed="false">
      <c r="B16" s="4" t="s">
        <v>22</v>
      </c>
      <c r="C16" s="5" t="s">
        <v>23</v>
      </c>
    </row>
    <row r="17" customFormat="false" ht="15" hidden="false" customHeight="false" outlineLevel="0" collapsed="false">
      <c r="B17" s="4" t="s">
        <v>24</v>
      </c>
      <c r="C17" s="5" t="s">
        <v>25</v>
      </c>
    </row>
    <row r="19" customFormat="false" ht="15" hidden="false" customHeight="false" outlineLevel="0" collapsed="false">
      <c r="B19" s="3" t="s">
        <v>26</v>
      </c>
    </row>
    <row r="20" customFormat="false" ht="15" hidden="false" customHeight="false" outlineLevel="0" collapsed="false">
      <c r="B20" s="4" t="s">
        <v>27</v>
      </c>
      <c r="C20" s="5" t="s">
        <v>28</v>
      </c>
    </row>
    <row r="21" customFormat="false" ht="23.85" hidden="false" customHeight="false" outlineLevel="0" collapsed="false">
      <c r="B21" s="4" t="s">
        <v>29</v>
      </c>
      <c r="C21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6" t="s">
        <v>31</v>
      </c>
      <c r="B1" s="6" t="s">
        <v>32</v>
      </c>
      <c r="C1" s="6" t="s">
        <v>33</v>
      </c>
      <c r="D1" s="6" t="s">
        <v>34</v>
      </c>
    </row>
    <row r="2" customFormat="false" ht="15" hidden="false" customHeight="false" outlineLevel="0" collapsed="false">
      <c r="A2" s="7" t="s">
        <v>35</v>
      </c>
      <c r="B2" s="7" t="s">
        <v>36</v>
      </c>
      <c r="C2" s="7" t="s">
        <v>37</v>
      </c>
      <c r="D2" s="7" t="s">
        <v>38</v>
      </c>
    </row>
    <row r="3" customFormat="false" ht="15" hidden="false" customHeight="false" outlineLevel="0" collapsed="false">
      <c r="A3" s="7" t="s">
        <v>39</v>
      </c>
      <c r="B3" s="7" t="s">
        <v>40</v>
      </c>
      <c r="C3" s="7" t="s">
        <v>41</v>
      </c>
      <c r="D3" s="7" t="s">
        <v>42</v>
      </c>
    </row>
    <row r="4" customFormat="false" ht="15" hidden="false" customHeight="false" outlineLevel="0" collapsed="false">
      <c r="A4" s="7" t="s">
        <v>43</v>
      </c>
      <c r="B4" s="7" t="s">
        <v>44</v>
      </c>
      <c r="C4" s="7" t="s">
        <v>45</v>
      </c>
      <c r="D4" s="7" t="s">
        <v>46</v>
      </c>
    </row>
    <row r="5" customFormat="false" ht="15" hidden="false" customHeight="false" outlineLevel="0" collapsed="false">
      <c r="B5" s="7" t="s">
        <v>47</v>
      </c>
      <c r="C5" s="7" t="s">
        <v>48</v>
      </c>
      <c r="D5" s="7" t="s">
        <v>49</v>
      </c>
    </row>
    <row r="6" customFormat="false" ht="15" hidden="false" customHeight="false" outlineLevel="0" collapsed="false">
      <c r="B6" s="7" t="s">
        <v>50</v>
      </c>
      <c r="D6" s="7" t="s">
        <v>51</v>
      </c>
    </row>
    <row r="7" customFormat="false" ht="15" hidden="false" customHeight="false" outlineLevel="0" collapsed="false">
      <c r="D7" s="7" t="s">
        <v>52</v>
      </c>
    </row>
    <row r="8" customFormat="false" ht="15" hidden="false" customHeight="false" outlineLevel="0" collapsed="false">
      <c r="D8" s="7" t="s">
        <v>53</v>
      </c>
    </row>
    <row r="9" customFormat="false" ht="15" hidden="false" customHeight="false" outlineLevel="0" collapsed="false">
      <c r="D9" s="7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8" min="17" style="0" width="26"/>
    <col collapsed="false" customWidth="true" hidden="false" outlineLevel="0" max="19" min="19" style="0" width="13"/>
    <col collapsed="false" customWidth="true" hidden="false" outlineLevel="0" max="20" min="20" style="0" width="30"/>
  </cols>
  <sheetData>
    <row r="1" customFormat="false" ht="42" hidden="false" customHeight="true" outlineLevel="0" collapsed="false">
      <c r="A1" s="8" t="s">
        <v>55</v>
      </c>
      <c r="B1" s="9" t="s">
        <v>56</v>
      </c>
      <c r="C1" s="9" t="s">
        <v>57</v>
      </c>
      <c r="D1" s="9" t="s">
        <v>58</v>
      </c>
      <c r="E1" s="9" t="s">
        <v>59</v>
      </c>
      <c r="F1" s="9" t="s">
        <v>60</v>
      </c>
      <c r="G1" s="9" t="s">
        <v>61</v>
      </c>
      <c r="H1" s="9" t="s">
        <v>62</v>
      </c>
      <c r="I1" s="9" t="s">
        <v>63</v>
      </c>
      <c r="J1" s="9" t="s">
        <v>64</v>
      </c>
      <c r="K1" s="9" t="s">
        <v>65</v>
      </c>
      <c r="L1" s="9" t="s">
        <v>66</v>
      </c>
      <c r="M1" s="9" t="s">
        <v>67</v>
      </c>
      <c r="N1" s="8" t="s">
        <v>68</v>
      </c>
      <c r="O1" s="8" t="s">
        <v>69</v>
      </c>
      <c r="P1" s="8" t="s">
        <v>70</v>
      </c>
      <c r="Q1" s="8" t="s">
        <v>71</v>
      </c>
      <c r="R1" s="8" t="s">
        <v>72</v>
      </c>
      <c r="S1" s="8" t="s">
        <v>73</v>
      </c>
      <c r="T1" s="9" t="s">
        <v>74</v>
      </c>
    </row>
    <row r="2" customFormat="false" ht="15" hidden="false" customHeight="false" outlineLevel="0" collapsed="false">
      <c r="A2" s="10" t="n">
        <v>1</v>
      </c>
      <c r="B2" s="10" t="s">
        <v>35</v>
      </c>
      <c r="C2" s="10" t="s">
        <v>75</v>
      </c>
      <c r="D2" s="10" t="n">
        <v>1</v>
      </c>
      <c r="E2" s="10" t="s">
        <v>38</v>
      </c>
      <c r="F2" s="10" t="s">
        <v>76</v>
      </c>
      <c r="G2" s="11" t="n">
        <v>900</v>
      </c>
      <c r="H2" s="12" t="n">
        <v>46125</v>
      </c>
      <c r="I2" s="10" t="s">
        <v>36</v>
      </c>
      <c r="J2" s="12"/>
      <c r="K2" s="10" t="s">
        <v>77</v>
      </c>
      <c r="L2" s="10" t="s">
        <v>78</v>
      </c>
      <c r="M2" s="10" t="s">
        <v>37</v>
      </c>
      <c r="N2" s="12" t="n">
        <f aca="true">IF(OR($H2="",$I2="",$M2="DEVOLVIDO"),"",IF($I2="DATA ESPECÍFICA",IF($J2="","",$J2),IF($I2="MENSAL",EDATE($H2,DATEDIF($H2,TODAY(),"m")+1),IF($I2="QUINZENAL",$H2+(INT((TODAY()-$H2)/14)+1)*14,IF($I2="SEMANAL",$H2+(INT((TODAY()-$H2)/7)+1)*7,IF($I2="DIÁRIA",TODAY()+1,""))))))</f>
        <v>46247</v>
      </c>
      <c r="O2" s="13" t="n">
        <f aca="true">IF($N2="","",$N2-TODAY())</f>
        <v>29</v>
      </c>
      <c r="P2" s="10" t="str">
        <f aca="false">IF($M2="DEVOLVIDO","—",IF($M2="DEVOLUÇÃO SOLICITADA","DEVOLVER",IF($N2="","",IF($O2&lt;0,"VENCIDO",IF($O2&lt;=5,"ALERTAR","OK")))))</f>
        <v>OK</v>
      </c>
      <c r="Q2" s="10" t="str">
        <f aca="false">IF(_xlfn.TEXTJOIN(", ",TRUE(),IF($B2="","OBRA",""),IF($C2="","EQUIPAMENTO",""),IF($E2="","FORNECEDOR",""),IF($F2="","Nº CONTRATO",""),IF($G2="","VALOR",""),IF($H2="","DATA INÍCIO",""),IF($I2="","CICLO",""),IF(AND($I2="DATA ESPECÍFICA",$J2=""),"DATA FIM",""))="","OK","FALTA: "&amp;_xlfn.TEXTJOIN(", ",TRUE(),IF($B2="","OBRA",""),IF($C2="","EQUIPAMENTO",""),IF($E2="","FORNECEDOR",""),IF($F2="","Nº CONTRATO",""),IF($G2="","VALOR",""),IF($H2="","DATA INÍCIO",""),IF($I2="","CICLO",""),IF(AND($I2="DATA ESPECÍFICA",$J2=""),"DATA FIM","")))</f>
        <v>OK</v>
      </c>
      <c r="R2" s="10"/>
      <c r="S2" s="12"/>
      <c r="T2" s="10"/>
    </row>
    <row r="3" customFormat="false" ht="15" hidden="false" customHeight="false" outlineLevel="0" collapsed="false">
      <c r="A3" s="10" t="n">
        <v>2</v>
      </c>
      <c r="B3" s="10" t="s">
        <v>35</v>
      </c>
      <c r="C3" s="10" t="s">
        <v>79</v>
      </c>
      <c r="D3" s="10" t="n">
        <v>1</v>
      </c>
      <c r="E3" s="10" t="s">
        <v>42</v>
      </c>
      <c r="F3" s="10" t="s">
        <v>80</v>
      </c>
      <c r="G3" s="11" t="n">
        <v>220</v>
      </c>
      <c r="H3" s="12" t="n">
        <v>46149</v>
      </c>
      <c r="I3" s="10" t="s">
        <v>36</v>
      </c>
      <c r="J3" s="12"/>
      <c r="K3" s="10" t="s">
        <v>77</v>
      </c>
      <c r="L3" s="10" t="s">
        <v>78</v>
      </c>
      <c r="M3" s="10" t="s">
        <v>37</v>
      </c>
      <c r="N3" s="12" t="n">
        <f aca="true">IF(OR($H3="",$I3="",$M3="DEVOLVIDO"),"",IF($I3="DATA ESPECÍFICA",IF($J3="","",$J3),IF($I3="MENSAL",EDATE($H3,DATEDIF($H3,TODAY(),"m")+1),IF($I3="QUINZENAL",$H3+(INT((TODAY()-$H3)/14)+1)*14,IF($I3="SEMANAL",$H3+(INT((TODAY()-$H3)/7)+1)*7,IF($I3="DIÁRIA",TODAY()+1,""))))))</f>
        <v>46241</v>
      </c>
      <c r="O3" s="13" t="n">
        <f aca="true">IF($N3="","",$N3-TODAY())</f>
        <v>23</v>
      </c>
      <c r="P3" s="10" t="str">
        <f aca="false">IF($M3="DEVOLVIDO","—",IF($M3="DEVOLUÇÃO SOLICITADA","DEVOLVER",IF($N3="","",IF($O3&lt;0,"VENCIDO",IF($O3&lt;=5,"ALERTAR","OK")))))</f>
        <v>OK</v>
      </c>
      <c r="Q3" s="10" t="str">
        <f aca="false">IF(_xlfn.TEXTJOIN(", ",TRUE(),IF($B3="","OBRA",""),IF($C3="","EQUIPAMENTO",""),IF($E3="","FORNECEDOR",""),IF($F3="","Nº CONTRATO",""),IF($G3="","VALOR",""),IF($H3="","DATA INÍCIO",""),IF($I3="","CICLO",""),IF(AND($I3="DATA ESPECÍFICA",$J3=""),"DATA FIM",""))="","OK","FALTA: "&amp;_xlfn.TEXTJOIN(", ",TRUE(),IF($B3="","OBRA",""),IF($C3="","EQUIPAMENTO",""),IF($E3="","FORNECEDOR",""),IF($F3="","Nº CONTRATO",""),IF($G3="","VALOR",""),IF($H3="","DATA INÍCIO",""),IF($I3="","CICLO",""),IF(AND($I3="DATA ESPECÍFICA",$J3=""),"DATA FIM","")))</f>
        <v>OK</v>
      </c>
      <c r="R3" s="10"/>
      <c r="S3" s="12"/>
      <c r="T3" s="10"/>
    </row>
    <row r="4" customFormat="false" ht="15" hidden="false" customHeight="false" outlineLevel="0" collapsed="false">
      <c r="A4" s="10" t="n">
        <v>3</v>
      </c>
      <c r="B4" s="10" t="s">
        <v>35</v>
      </c>
      <c r="C4" s="10" t="s">
        <v>81</v>
      </c>
      <c r="D4" s="10" t="n">
        <v>1</v>
      </c>
      <c r="E4" s="10" t="s">
        <v>42</v>
      </c>
      <c r="F4" s="10" t="s">
        <v>82</v>
      </c>
      <c r="G4" s="11" t="n">
        <v>915</v>
      </c>
      <c r="H4" s="12" t="n">
        <v>46120</v>
      </c>
      <c r="I4" s="10" t="s">
        <v>36</v>
      </c>
      <c r="J4" s="12"/>
      <c r="K4" s="10" t="s">
        <v>77</v>
      </c>
      <c r="L4" s="10" t="s">
        <v>78</v>
      </c>
      <c r="M4" s="10" t="s">
        <v>37</v>
      </c>
      <c r="N4" s="12" t="n">
        <f aca="true">IF(OR($H4="",$I4="",$M4="DEVOLVIDO"),"",IF($I4="DATA ESPECÍFICA",IF($J4="","",$J4),IF($I4="MENSAL",EDATE($H4,DATEDIF($H4,TODAY(),"m")+1),IF($I4="QUINZENAL",$H4+(INT((TODAY()-$H4)/14)+1)*14,IF($I4="SEMANAL",$H4+(INT((TODAY()-$H4)/7)+1)*7,IF($I4="DIÁRIA",TODAY()+1,""))))))</f>
        <v>46242</v>
      </c>
      <c r="O4" s="13" t="n">
        <f aca="true">IF($N4="","",$N4-TODAY())</f>
        <v>24</v>
      </c>
      <c r="P4" s="10" t="str">
        <f aca="false">IF($M4="DEVOLVIDO","—",IF($M4="DEVOLUÇÃO SOLICITADA","DEVOLVER",IF($N4="","",IF($O4&lt;0,"VENCIDO",IF($O4&lt;=5,"ALERTAR","OK")))))</f>
        <v>OK</v>
      </c>
      <c r="Q4" s="10" t="str">
        <f aca="false">IF(_xlfn.TEXTJOIN(", ",TRUE(),IF($B4="","OBRA",""),IF($C4="","EQUIPAMENTO",""),IF($E4="","FORNECEDOR",""),IF($F4="","Nº CONTRATO",""),IF($G4="","VALOR",""),IF($H4="","DATA INÍCIO",""),IF($I4="","CICLO",""),IF(AND($I4="DATA ESPECÍFICA",$J4=""),"DATA FIM",""))="","OK","FALTA: "&amp;_xlfn.TEXTJOIN(", ",TRUE(),IF($B4="","OBRA",""),IF($C4="","EQUIPAMENTO",""),IF($E4="","FORNECEDOR",""),IF($F4="","Nº CONTRATO",""),IF($G4="","VALOR",""),IF($H4="","DATA INÍCIO",""),IF($I4="","CICLO",""),IF(AND($I4="DATA ESPECÍFICA",$J4=""),"DATA FIM","")))</f>
        <v>OK</v>
      </c>
      <c r="R4" s="10"/>
      <c r="S4" s="12"/>
      <c r="T4" s="10" t="s">
        <v>83</v>
      </c>
    </row>
    <row r="5" customFormat="false" ht="15" hidden="false" customHeight="false" outlineLevel="0" collapsed="false">
      <c r="A5" s="10" t="n">
        <v>4</v>
      </c>
      <c r="B5" s="10" t="s">
        <v>35</v>
      </c>
      <c r="C5" s="10" t="s">
        <v>84</v>
      </c>
      <c r="D5" s="10" t="n">
        <v>1</v>
      </c>
      <c r="E5" s="10" t="s">
        <v>42</v>
      </c>
      <c r="F5" s="10" t="s">
        <v>85</v>
      </c>
      <c r="G5" s="11" t="n">
        <v>2900</v>
      </c>
      <c r="H5" s="12" t="n">
        <v>46126</v>
      </c>
      <c r="I5" s="10" t="s">
        <v>36</v>
      </c>
      <c r="J5" s="12"/>
      <c r="K5" s="10" t="s">
        <v>77</v>
      </c>
      <c r="L5" s="10" t="s">
        <v>78</v>
      </c>
      <c r="M5" s="10" t="s">
        <v>37</v>
      </c>
      <c r="N5" s="12" t="n">
        <f aca="true">IF(OR($H5="",$I5="",$M5="DEVOLVIDO"),"",IF($I5="DATA ESPECÍFICA",IF($J5="","",$J5),IF($I5="MENSAL",EDATE($H5,DATEDIF($H5,TODAY(),"m")+1),IF($I5="QUINZENAL",$H5+(INT((TODAY()-$H5)/14)+1)*14,IF($I5="SEMANAL",$H5+(INT((TODAY()-$H5)/7)+1)*7,IF($I5="DIÁRIA",TODAY()+1,""))))))</f>
        <v>46248</v>
      </c>
      <c r="O5" s="13" t="n">
        <f aca="true">IF($N5="","",$N5-TODAY())</f>
        <v>30</v>
      </c>
      <c r="P5" s="10" t="str">
        <f aca="false">IF($M5="DEVOLVIDO","—",IF($M5="DEVOLUÇÃO SOLICITADA","DEVOLVER",IF($N5="","",IF($O5&lt;0,"VENCIDO",IF($O5&lt;=5,"ALERTAR","OK")))))</f>
        <v>OK</v>
      </c>
      <c r="Q5" s="10" t="str">
        <f aca="false">IF(_xlfn.TEXTJOIN(", ",TRUE(),IF($B5="","OBRA",""),IF($C5="","EQUIPAMENTO",""),IF($E5="","FORNECEDOR",""),IF($F5="","Nº CONTRATO",""),IF($G5="","VALOR",""),IF($H5="","DATA INÍCIO",""),IF($I5="","CICLO",""),IF(AND($I5="DATA ESPECÍFICA",$J5=""),"DATA FIM",""))="","OK","FALTA: "&amp;_xlfn.TEXTJOIN(", ",TRUE(),IF($B5="","OBRA",""),IF($C5="","EQUIPAMENTO",""),IF($E5="","FORNECEDOR",""),IF($F5="","Nº CONTRATO",""),IF($G5="","VALOR",""),IF($H5="","DATA INÍCIO",""),IF($I5="","CICLO",""),IF(AND($I5="DATA ESPECÍFICA",$J5=""),"DATA FIM","")))</f>
        <v>OK</v>
      </c>
      <c r="R5" s="10"/>
      <c r="S5" s="12"/>
      <c r="T5" s="10"/>
    </row>
    <row r="6" customFormat="false" ht="15" hidden="false" customHeight="false" outlineLevel="0" collapsed="false">
      <c r="A6" s="10" t="n">
        <v>5</v>
      </c>
      <c r="B6" s="10" t="s">
        <v>35</v>
      </c>
      <c r="C6" s="10" t="s">
        <v>86</v>
      </c>
      <c r="D6" s="10" t="n">
        <v>1</v>
      </c>
      <c r="E6" s="10" t="s">
        <v>46</v>
      </c>
      <c r="F6" s="10" t="s">
        <v>87</v>
      </c>
      <c r="G6" s="11" t="n">
        <v>1298.5</v>
      </c>
      <c r="H6" s="12" t="n">
        <v>46107</v>
      </c>
      <c r="I6" s="10" t="s">
        <v>36</v>
      </c>
      <c r="J6" s="12"/>
      <c r="K6" s="10" t="s">
        <v>77</v>
      </c>
      <c r="L6" s="10" t="s">
        <v>78</v>
      </c>
      <c r="M6" s="10" t="s">
        <v>37</v>
      </c>
      <c r="N6" s="12" t="n">
        <f aca="true">IF(OR($H6="",$I6="",$M6="DEVOLVIDO"),"",IF($I6="DATA ESPECÍFICA",IF($J6="","",$J6),IF($I6="MENSAL",EDATE($H6,DATEDIF($H6,TODAY(),"m")+1),IF($I6="QUINZENAL",$H6+(INT((TODAY()-$H6)/14)+1)*14,IF($I6="SEMANAL",$H6+(INT((TODAY()-$H6)/7)+1)*7,IF($I6="DIÁRIA",TODAY()+1,""))))))</f>
        <v>46229</v>
      </c>
      <c r="O6" s="13" t="n">
        <f aca="true">IF($N6="","",$N6-TODAY())</f>
        <v>11</v>
      </c>
      <c r="P6" s="10" t="str">
        <f aca="false">IF($M6="DEVOLVIDO","—",IF($M6="DEVOLUÇÃO SOLICITADA","DEVOLVER",IF($N6="","",IF($O6&lt;0,"VENCIDO",IF($O6&lt;=5,"ALERTAR","OK")))))</f>
        <v>OK</v>
      </c>
      <c r="Q6" s="10" t="str">
        <f aca="false">IF(_xlfn.TEXTJOIN(", ",TRUE(),IF($B6="","OBRA",""),IF($C6="","EQUIPAMENTO",""),IF($E6="","FORNECEDOR",""),IF($F6="","Nº CONTRATO",""),IF($G6="","VALOR",""),IF($H6="","DATA INÍCIO",""),IF($I6="","CICLO",""),IF(AND($I6="DATA ESPECÍFICA",$J6=""),"DATA FIM",""))="","OK","FALTA: "&amp;_xlfn.TEXTJOIN(", ",TRUE(),IF($B6="","OBRA",""),IF($C6="","EQUIPAMENTO",""),IF($E6="","FORNECEDOR",""),IF($F6="","Nº CONTRATO",""),IF($G6="","VALOR",""),IF($H6="","DATA INÍCIO",""),IF($I6="","CICLO",""),IF(AND($I6="DATA ESPECÍFICA",$J6=""),"DATA FIM","")))</f>
        <v>OK</v>
      </c>
      <c r="R6" s="10"/>
      <c r="S6" s="12"/>
      <c r="T6" s="10"/>
    </row>
    <row r="7" customFormat="false" ht="15" hidden="false" customHeight="false" outlineLevel="0" collapsed="false">
      <c r="A7" s="10" t="n">
        <v>6</v>
      </c>
      <c r="B7" s="10" t="s">
        <v>35</v>
      </c>
      <c r="C7" s="10" t="s">
        <v>88</v>
      </c>
      <c r="D7" s="10" t="n">
        <v>1</v>
      </c>
      <c r="E7" s="10" t="s">
        <v>46</v>
      </c>
      <c r="F7" s="10" t="s">
        <v>89</v>
      </c>
      <c r="G7" s="11" t="n">
        <v>600</v>
      </c>
      <c r="H7" s="12" t="n">
        <v>46190</v>
      </c>
      <c r="I7" s="10" t="s">
        <v>36</v>
      </c>
      <c r="J7" s="12"/>
      <c r="K7" s="10" t="s">
        <v>77</v>
      </c>
      <c r="L7" s="10" t="s">
        <v>78</v>
      </c>
      <c r="M7" s="10" t="s">
        <v>41</v>
      </c>
      <c r="N7" s="12" t="n">
        <f aca="true">IF(OR($H7="",$I7="",$M7="DEVOLVIDO"),"",IF($I7="DATA ESPECÍFICA",IF($J7="","",$J7),IF($I7="MENSAL",EDATE($H7,DATEDIF($H7,TODAY(),"m")+1),IF($I7="QUINZENAL",$H7+(INT((TODAY()-$H7)/14)+1)*14,IF($I7="SEMANAL",$H7+(INT((TODAY()-$H7)/7)+1)*7,IF($I7="DIÁRIA",TODAY()+1,""))))))</f>
        <v>46220</v>
      </c>
      <c r="O7" s="13" t="n">
        <f aca="true">IF($N7="","",$N7-TODAY())</f>
        <v>2</v>
      </c>
      <c r="P7" s="10" t="str">
        <f aca="false">IF($M7="DEVOLVIDO","—",IF($M7="DEVOLUÇÃO SOLICITADA","DEVOLVER",IF($N7="","",IF($O7&lt;0,"VENCIDO",IF($O7&lt;=5,"ALERTAR","OK")))))</f>
        <v>DEVOLVER</v>
      </c>
      <c r="Q7" s="10" t="str">
        <f aca="false">IF(_xlfn.TEXTJOIN(", ",TRUE(),IF($B7="","OBRA",""),IF($C7="","EQUIPAMENTO",""),IF($E7="","FORNECEDOR",""),IF($F7="","Nº CONTRATO",""),IF($G7="","VALOR",""),IF($H7="","DATA INÍCIO",""),IF($I7="","CICLO",""),IF(AND($I7="DATA ESPECÍFICA",$J7=""),"DATA FIM",""))="","OK","FALTA: "&amp;_xlfn.TEXTJOIN(", ",TRUE(),IF($B7="","OBRA",""),IF($C7="","EQUIPAMENTO",""),IF($E7="","FORNECEDOR",""),IF($F7="","Nº CONTRATO",""),IF($G7="","VALOR",""),IF($H7="","DATA INÍCIO",""),IF($I7="","CICLO",""),IF(AND($I7="DATA ESPECÍFICA",$J7=""),"DATA FIM","")))</f>
        <v>OK</v>
      </c>
      <c r="R7" s="10" t="s">
        <v>90</v>
      </c>
      <c r="S7" s="12" t="n">
        <v>46213</v>
      </c>
      <c r="T7" s="10" t="s">
        <v>91</v>
      </c>
    </row>
    <row r="8" customFormat="false" ht="15" hidden="false" customHeight="false" outlineLevel="0" collapsed="false">
      <c r="A8" s="10" t="n">
        <v>7</v>
      </c>
      <c r="B8" s="10" t="s">
        <v>35</v>
      </c>
      <c r="C8" s="10" t="s">
        <v>92</v>
      </c>
      <c r="D8" s="10" t="n">
        <v>1</v>
      </c>
      <c r="E8" s="10" t="s">
        <v>51</v>
      </c>
      <c r="F8" s="10" t="s">
        <v>93</v>
      </c>
      <c r="G8" s="11" t="n">
        <v>2922</v>
      </c>
      <c r="H8" s="12" t="n">
        <v>46135</v>
      </c>
      <c r="I8" s="10" t="s">
        <v>36</v>
      </c>
      <c r="J8" s="12"/>
      <c r="K8" s="10" t="s">
        <v>77</v>
      </c>
      <c r="L8" s="10" t="s">
        <v>78</v>
      </c>
      <c r="M8" s="10" t="s">
        <v>37</v>
      </c>
      <c r="N8" s="12" t="n">
        <f aca="true">IF(OR($H8="",$I8="",$M8="DEVOLVIDO"),"",IF($I8="DATA ESPECÍFICA",IF($J8="","",$J8),IF($I8="MENSAL",EDATE($H8,DATEDIF($H8,TODAY(),"m")+1),IF($I8="QUINZENAL",$H8+(INT((TODAY()-$H8)/14)+1)*14,IF($I8="SEMANAL",$H8+(INT((TODAY()-$H8)/7)+1)*7,IF($I8="DIÁRIA",TODAY()+1,""))))))</f>
        <v>46226</v>
      </c>
      <c r="O8" s="13" t="n">
        <f aca="true">IF($N8="","",$N8-TODAY())</f>
        <v>8</v>
      </c>
      <c r="P8" s="10" t="str">
        <f aca="false">IF($M8="DEVOLVIDO","—",IF($M8="DEVOLUÇÃO SOLICITADA","DEVOLVER",IF($N8="","",IF($O8&lt;0,"VENCIDO",IF($O8&lt;=5,"ALERTAR","OK")))))</f>
        <v>OK</v>
      </c>
      <c r="Q8" s="10" t="str">
        <f aca="false">IF(_xlfn.TEXTJOIN(", ",TRUE(),IF($B8="","OBRA",""),IF($C8="","EQUIPAMENTO",""),IF($E8="","FORNECEDOR",""),IF($F8="","Nº CONTRATO",""),IF($G8="","VALOR",""),IF($H8="","DATA INÍCIO",""),IF($I8="","CICLO",""),IF(AND($I8="DATA ESPECÍFICA",$J8=""),"DATA FIM",""))="","OK","FALTA: "&amp;_xlfn.TEXTJOIN(", ",TRUE(),IF($B8="","OBRA",""),IF($C8="","EQUIPAMENTO",""),IF($E8="","FORNECEDOR",""),IF($F8="","Nº CONTRATO",""),IF($G8="","VALOR",""),IF($H8="","DATA INÍCIO",""),IF($I8="","CICLO",""),IF(AND($I8="DATA ESPECÍFICA",$J8=""),"DATA FIM","")))</f>
        <v>OK</v>
      </c>
      <c r="R8" s="10"/>
      <c r="S8" s="12"/>
      <c r="T8" s="10"/>
    </row>
    <row r="9" customFormat="false" ht="15" hidden="false" customHeight="false" outlineLevel="0" collapsed="false">
      <c r="A9" s="10" t="n">
        <v>8</v>
      </c>
      <c r="B9" s="10" t="s">
        <v>43</v>
      </c>
      <c r="C9" s="10" t="s">
        <v>94</v>
      </c>
      <c r="D9" s="10" t="n">
        <v>1</v>
      </c>
      <c r="E9" s="10" t="s">
        <v>38</v>
      </c>
      <c r="F9" s="10" t="s">
        <v>95</v>
      </c>
      <c r="G9" s="11" t="n">
        <v>650</v>
      </c>
      <c r="H9" s="12" t="n">
        <v>46142</v>
      </c>
      <c r="I9" s="10" t="s">
        <v>36</v>
      </c>
      <c r="J9" s="12"/>
      <c r="K9" s="10" t="s">
        <v>96</v>
      </c>
      <c r="L9" s="10" t="s">
        <v>97</v>
      </c>
      <c r="M9" s="10" t="s">
        <v>37</v>
      </c>
      <c r="N9" s="12" t="n">
        <f aca="true">IF(OR($H9="",$I9="",$M9="DEVOLVIDO"),"",IF($I9="DATA ESPECÍFICA",IF($J9="","",$J9),IF($I9="MENSAL",EDATE($H9,DATEDIF($H9,TODAY(),"m")+1),IF($I9="QUINZENAL",$H9+(INT((TODAY()-$H9)/14)+1)*14,IF($I9="SEMANAL",$H9+(INT((TODAY()-$H9)/7)+1)*7,IF($I9="DIÁRIA",TODAY()+1,""))))))</f>
        <v>46233</v>
      </c>
      <c r="O9" s="13" t="n">
        <f aca="true">IF($N9="","",$N9-TODAY())</f>
        <v>15</v>
      </c>
      <c r="P9" s="10" t="str">
        <f aca="false">IF($M9="DEVOLVIDO","—",IF($M9="DEVOLUÇÃO SOLICITADA","DEVOLVER",IF($N9="","",IF($O9&lt;0,"VENCIDO",IF($O9&lt;=5,"ALERTAR","OK")))))</f>
        <v>OK</v>
      </c>
      <c r="Q9" s="10" t="str">
        <f aca="false">IF(_xlfn.TEXTJOIN(", ",TRUE(),IF($B9="","OBRA",""),IF($C9="","EQUIPAMENTO",""),IF($E9="","FORNECEDOR",""),IF($F9="","Nº CONTRATO",""),IF($G9="","VALOR",""),IF($H9="","DATA INÍCIO",""),IF($I9="","CICLO",""),IF(AND($I9="DATA ESPECÍFICA",$J9=""),"DATA FIM",""))="","OK","FALTA: "&amp;_xlfn.TEXTJOIN(", ",TRUE(),IF($B9="","OBRA",""),IF($C9="","EQUIPAMENTO",""),IF($E9="","FORNECEDOR",""),IF($F9="","Nº CONTRATO",""),IF($G9="","VALOR",""),IF($H9="","DATA INÍCIO",""),IF($I9="","CICLO",""),IF(AND($I9="DATA ESPECÍFICA",$J9=""),"DATA FIM","")))</f>
        <v>OK</v>
      </c>
      <c r="R9" s="10"/>
      <c r="S9" s="12"/>
      <c r="T9" s="10"/>
    </row>
    <row r="10" customFormat="false" ht="15" hidden="false" customHeight="false" outlineLevel="0" collapsed="false">
      <c r="A10" s="10" t="n">
        <v>9</v>
      </c>
      <c r="B10" s="10" t="s">
        <v>43</v>
      </c>
      <c r="C10" s="10" t="s">
        <v>98</v>
      </c>
      <c r="D10" s="10" t="n">
        <v>1</v>
      </c>
      <c r="E10" s="10" t="s">
        <v>54</v>
      </c>
      <c r="F10" s="10" t="s">
        <v>99</v>
      </c>
      <c r="G10" s="11" t="n">
        <v>280</v>
      </c>
      <c r="H10" s="12" t="n">
        <v>46105</v>
      </c>
      <c r="I10" s="10" t="s">
        <v>36</v>
      </c>
      <c r="J10" s="12"/>
      <c r="K10" s="10" t="s">
        <v>96</v>
      </c>
      <c r="L10" s="10" t="s">
        <v>97</v>
      </c>
      <c r="M10" s="10" t="s">
        <v>37</v>
      </c>
      <c r="N10" s="12" t="n">
        <f aca="true">IF(OR($H10="",$I10="",$M10="DEVOLVIDO"),"",IF($I10="DATA ESPECÍFICA",IF($J10="","",$J10),IF($I10="MENSAL",EDATE($H10,DATEDIF($H10,TODAY(),"m")+1),IF($I10="QUINZENAL",$H10+(INT((TODAY()-$H10)/14)+1)*14,IF($I10="SEMANAL",$H10+(INT((TODAY()-$H10)/7)+1)*7,IF($I10="DIÁRIA",TODAY()+1,""))))))</f>
        <v>46227</v>
      </c>
      <c r="O10" s="13" t="n">
        <f aca="true">IF($N10="","",$N10-TODAY())</f>
        <v>9</v>
      </c>
      <c r="P10" s="10" t="str">
        <f aca="false">IF($M10="DEVOLVIDO","—",IF($M10="DEVOLUÇÃO SOLICITADA","DEVOLVER",IF($N10="","",IF($O10&lt;0,"VENCIDO",IF($O10&lt;=5,"ALERTAR","OK")))))</f>
        <v>OK</v>
      </c>
      <c r="Q10" s="10" t="str">
        <f aca="false">IF(_xlfn.TEXTJOIN(", ",TRUE(),IF($B10="","OBRA",""),IF($C10="","EQUIPAMENTO",""),IF($E10="","FORNECEDOR",""),IF($F10="","Nº CONTRATO",""),IF($G10="","VALOR",""),IF($H10="","DATA INÍCIO",""),IF($I10="","CICLO",""),IF(AND($I10="DATA ESPECÍFICA",$J10=""),"DATA FIM",""))="","OK","FALTA: "&amp;_xlfn.TEXTJOIN(", ",TRUE(),IF($B10="","OBRA",""),IF($C10="","EQUIPAMENTO",""),IF($E10="","FORNECEDOR",""),IF($F10="","Nº CONTRATO",""),IF($G10="","VALOR",""),IF($H10="","DATA INÍCIO",""),IF($I10="","CICLO",""),IF(AND($I10="DATA ESPECÍFICA",$J10=""),"DATA FIM","")))</f>
        <v>OK</v>
      </c>
      <c r="R10" s="10"/>
      <c r="S10" s="12"/>
      <c r="T10" s="10"/>
    </row>
    <row r="11" customFormat="false" ht="15" hidden="false" customHeight="false" outlineLevel="0" collapsed="false">
      <c r="A11" s="10" t="n">
        <v>10</v>
      </c>
      <c r="B11" s="10" t="s">
        <v>35</v>
      </c>
      <c r="C11" s="10" t="s">
        <v>100</v>
      </c>
      <c r="D11" s="10" t="n">
        <v>1</v>
      </c>
      <c r="E11" s="10" t="s">
        <v>38</v>
      </c>
      <c r="F11" s="10" t="s">
        <v>101</v>
      </c>
      <c r="G11" s="11" t="n">
        <v>350</v>
      </c>
      <c r="H11" s="12" t="n">
        <v>46220</v>
      </c>
      <c r="I11" s="10" t="s">
        <v>50</v>
      </c>
      <c r="J11" s="12" t="n">
        <v>46221</v>
      </c>
      <c r="K11" s="10" t="s">
        <v>77</v>
      </c>
      <c r="L11" s="10" t="s">
        <v>78</v>
      </c>
      <c r="M11" s="10" t="s">
        <v>37</v>
      </c>
      <c r="N11" s="12" t="n">
        <f aca="true">IF(OR($H11="",$I11="",$M11="DEVOLVIDO"),"",IF($I11="DATA ESPECÍFICA",IF($J11="","",$J11),IF($I11="MENSAL",EDATE($H11,DATEDIF($H11,TODAY(),"m")+1),IF($I11="QUINZENAL",$H11+(INT((TODAY()-$H11)/14)+1)*14,IF($I11="SEMANAL",$H11+(INT((TODAY()-$H11)/7)+1)*7,IF($I11="DIÁRIA",TODAY()+1,""))))))</f>
        <v>46221</v>
      </c>
      <c r="O11" s="13" t="n">
        <f aca="true">IF($N11="","",$N11-TODAY())</f>
        <v>3</v>
      </c>
      <c r="P11" s="10" t="str">
        <f aca="false">IF($M11="DEVOLVIDO","—",IF($M11="DEVOLUÇÃO SOLICITADA","DEVOLVER",IF($N11="","",IF($O11&lt;0,"VENCIDO",IF($O11&lt;=5,"ALERTAR","OK")))))</f>
        <v>ALERTAR</v>
      </c>
      <c r="Q11" s="10" t="str">
        <f aca="false">IF(_xlfn.TEXTJOIN(", ",TRUE(),IF($B11="","OBRA",""),IF($C11="","EQUIPAMENTO",""),IF($E11="","FORNECEDOR",""),IF($F11="","Nº CONTRATO",""),IF($G11="","VALOR",""),IF($H11="","DATA INÍCIO",""),IF($I11="","CICLO",""),IF(AND($I11="DATA ESPECÍFICA",$J11=""),"DATA FIM",""))="","OK","FALTA: "&amp;_xlfn.TEXTJOIN(", ",TRUE(),IF($B11="","OBRA",""),IF($C11="","EQUIPAMENTO",""),IF($E11="","FORNECEDOR",""),IF($F11="","Nº CONTRATO",""),IF($G11="","VALOR",""),IF($H11="","DATA INÍCIO",""),IF($I11="","CICLO",""),IF(AND($I11="DATA ESPECÍFICA",$J11=""),"DATA FIM","")))</f>
        <v>OK</v>
      </c>
      <c r="R11" s="10"/>
      <c r="S11" s="12"/>
      <c r="T11" s="10" t="s">
        <v>102</v>
      </c>
    </row>
    <row r="12" customFormat="false" ht="15" hidden="false" customHeight="false" outlineLevel="0" collapsed="false">
      <c r="A12" s="10" t="n">
        <v>11</v>
      </c>
      <c r="B12" s="10" t="s">
        <v>35</v>
      </c>
      <c r="C12" s="10" t="s">
        <v>100</v>
      </c>
      <c r="D12" s="10" t="n">
        <v>1</v>
      </c>
      <c r="E12" s="10" t="s">
        <v>38</v>
      </c>
      <c r="F12" s="10" t="s">
        <v>103</v>
      </c>
      <c r="G12" s="11" t="n">
        <v>200</v>
      </c>
      <c r="H12" s="12"/>
      <c r="I12" s="10" t="s">
        <v>36</v>
      </c>
      <c r="J12" s="12"/>
      <c r="K12" s="10" t="s">
        <v>77</v>
      </c>
      <c r="L12" s="10" t="s">
        <v>78</v>
      </c>
      <c r="M12" s="10" t="s">
        <v>37</v>
      </c>
      <c r="N12" s="12" t="str">
        <f aca="true">IF(OR($H12="",$I12="",$M12="DEVOLVIDO"),"",IF($I12="DATA ESPECÍFICA",IF($J12="","",$J12),IF($I12="MENSAL",EDATE($H12,DATEDIF($H12,TODAY(),"m")+1),IF($I12="QUINZENAL",$H12+(INT((TODAY()-$H12)/14)+1)*14,IF($I12="SEMANAL",$H12+(INT((TODAY()-$H12)/7)+1)*7,IF($I12="DIÁRIA",TODAY()+1,""))))))</f>
        <v/>
      </c>
      <c r="O12" s="13" t="str">
        <f aca="true">IF($N12="","",$N12-TODAY())</f>
        <v/>
      </c>
      <c r="P12" s="10" t="str">
        <f aca="false">IF($M12="DEVOLVIDO","—",IF($M12="DEVOLUÇÃO SOLICITADA","DEVOLVER",IF($N12="","",IF($O12&lt;0,"VENCIDO",IF($O12&lt;=5,"ALERTAR","OK")))))</f>
        <v/>
      </c>
      <c r="Q12" s="10" t="str">
        <f aca="false">IF(_xlfn.TEXTJOIN(", ",TRUE(),IF($B12="","OBRA",""),IF($C12="","EQUIPAMENTO",""),IF($E12="","FORNECEDOR",""),IF($F12="","Nº CONTRATO",""),IF($G12="","VALOR",""),IF($H12="","DATA INÍCIO",""),IF($I12="","CICLO",""),IF(AND($I12="DATA ESPECÍFICA",$J12=""),"DATA FIM",""))="","OK","FALTA: "&amp;_xlfn.TEXTJOIN(", ",TRUE(),IF($B12="","OBRA",""),IF($C12="","EQUIPAMENTO",""),IF($E12="","FORNECEDOR",""),IF($F12="","Nº CONTRATO",""),IF($G12="","VALOR",""),IF($H12="","DATA INÍCIO",""),IF($I12="","CICLO",""),IF(AND($I12="DATA ESPECÍFICA",$J12=""),"DATA FIM","")))</f>
        <v>FALTA: DATA INÍCIO</v>
      </c>
      <c r="R12" s="10"/>
      <c r="S12" s="12"/>
      <c r="T12" s="10" t="s">
        <v>104</v>
      </c>
    </row>
    <row r="13" customFormat="false" ht="15" hidden="false" customHeight="false" outlineLevel="0" collapsed="false">
      <c r="A13" s="10" t="n">
        <v>12</v>
      </c>
      <c r="B13" s="10" t="s">
        <v>35</v>
      </c>
      <c r="C13" s="10" t="s">
        <v>105</v>
      </c>
      <c r="D13" s="10" t="n">
        <v>1</v>
      </c>
      <c r="E13" s="10" t="s">
        <v>46</v>
      </c>
      <c r="F13" s="10" t="s">
        <v>106</v>
      </c>
      <c r="G13" s="11" t="n">
        <v>1350</v>
      </c>
      <c r="H13" s="12" t="n">
        <v>46182</v>
      </c>
      <c r="I13" s="10"/>
      <c r="J13" s="12"/>
      <c r="K13" s="10" t="s">
        <v>77</v>
      </c>
      <c r="L13" s="10" t="s">
        <v>78</v>
      </c>
      <c r="M13" s="10" t="s">
        <v>37</v>
      </c>
      <c r="N13" s="12" t="str">
        <f aca="true">IF(OR($H13="",$I13="",$M13="DEVOLVIDO"),"",IF($I13="DATA ESPECÍFICA",IF($J13="","",$J13),IF($I13="MENSAL",EDATE($H13,DATEDIF($H13,TODAY(),"m")+1),IF($I13="QUINZENAL",$H13+(INT((TODAY()-$H13)/14)+1)*14,IF($I13="SEMANAL",$H13+(INT((TODAY()-$H13)/7)+1)*7,IF($I13="DIÁRIA",TODAY()+1,""))))))</f>
        <v/>
      </c>
      <c r="O13" s="13" t="str">
        <f aca="true">IF($N13="","",$N13-TODAY())</f>
        <v/>
      </c>
      <c r="P13" s="10" t="str">
        <f aca="false">IF($M13="DEVOLVIDO","—",IF($M13="DEVOLUÇÃO SOLICITADA","DEVOLVER",IF($N13="","",IF($O13&lt;0,"VENCIDO",IF($O13&lt;=5,"ALERTAR","OK")))))</f>
        <v/>
      </c>
      <c r="Q13" s="10" t="str">
        <f aca="false">IF(_xlfn.TEXTJOIN(", ",TRUE(),IF($B13="","OBRA",""),IF($C13="","EQUIPAMENTO",""),IF($E13="","FORNECEDOR",""),IF($F13="","Nº CONTRATO",""),IF($G13="","VALOR",""),IF($H13="","DATA INÍCIO",""),IF($I13="","CICLO",""),IF(AND($I13="DATA ESPECÍFICA",$J13=""),"DATA FIM",""))="","OK","FALTA: "&amp;_xlfn.TEXTJOIN(", ",TRUE(),IF($B13="","OBRA",""),IF($C13="","EQUIPAMENTO",""),IF($E13="","FORNECEDOR",""),IF($F13="","Nº CONTRATO",""),IF($G13="","VALOR",""),IF($H13="","DATA INÍCIO",""),IF($I13="","CICLO",""),IF(AND($I13="DATA ESPECÍFICA",$J13=""),"DATA FIM","")))</f>
        <v>FALTA: CICLO</v>
      </c>
      <c r="R13" s="10"/>
      <c r="S13" s="12"/>
      <c r="T13" s="10" t="s">
        <v>107</v>
      </c>
    </row>
  </sheetData>
  <conditionalFormatting sqref="P2:P200">
    <cfRule type="cellIs" priority="2" operator="equal" aboveAverage="0" equalAverage="0" bottom="0" percent="0" rank="0" text="" dxfId="0">
      <formula>"VENCIDO"</formula>
    </cfRule>
    <cfRule type="cellIs" priority="3" operator="equal" aboveAverage="0" equalAverage="0" bottom="0" percent="0" rank="0" text="" dxfId="1">
      <formula>"ALERTAR"</formula>
    </cfRule>
    <cfRule type="cellIs" priority="4" operator="equal" aboveAverage="0" equalAverage="0" bottom="0" percent="0" rank="0" text="" dxfId="2">
      <formula>"DEVOLVER"</formula>
    </cfRule>
    <cfRule type="cellIs" priority="5" operator="equal" aboveAverage="0" equalAverage="0" bottom="0" percent="0" rank="0" text="" dxfId="3">
      <formula>"OK"</formula>
    </cfRule>
  </conditionalFormatting>
  <conditionalFormatting sqref="Q2:Q200">
    <cfRule type="expression" priority="6" aboveAverage="0" equalAverage="0" bottom="0" percent="0" rank="0" text="" dxfId="0">
      <formula>LEFT($Q2,5)="FALTA"</formula>
    </cfRule>
  </conditionalFormatting>
  <dataValidations count="4">
    <dataValidation allowBlank="true" errorStyle="stop" operator="between" showDropDown="false" showErrorMessage="false" showInputMessage="false" sqref="B2:B200" type="list">
      <formula1>LISTAS!$A$2:$A$20</formula1>
      <formula2>0</formula2>
    </dataValidation>
    <dataValidation allowBlank="true" errorStyle="stop" operator="between" showDropDown="false" showErrorMessage="false" showInputMessage="false" sqref="I2:I200" type="list">
      <formula1>LISTAS!$B$2:$B$6</formula1>
      <formula2>0</formula2>
    </dataValidation>
    <dataValidation allowBlank="true" errorStyle="stop" operator="between" showDropDown="false" showErrorMessage="false" showInputMessage="false" sqref="M2:M200" type="list">
      <formula1>LISTAS!$C$2:$C$5</formula1>
      <formula2>0</formula2>
    </dataValidation>
    <dataValidation allowBlank="true" errorStyle="stop" operator="between" showDropDown="false" showErrorMessage="false" showInputMessage="false" sqref="E2:E200" type="list">
      <formula1>LISTAS!$D$2:$D$40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55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4" t="s">
        <v>108</v>
      </c>
      <c r="B1" s="14" t="s">
        <v>109</v>
      </c>
      <c r="C1" s="14" t="s">
        <v>110</v>
      </c>
      <c r="D1" s="14" t="s">
        <v>111</v>
      </c>
      <c r="E1" s="14" t="s">
        <v>112</v>
      </c>
      <c r="F1" s="14" t="s">
        <v>113</v>
      </c>
      <c r="G1" s="14" t="s">
        <v>114</v>
      </c>
    </row>
    <row r="2" customFormat="false" ht="15" hidden="false" customHeight="false" outlineLevel="0" collapsed="false">
      <c r="A2" s="15" t="s">
        <v>115</v>
      </c>
      <c r="B2" s="15" t="n">
        <v>5</v>
      </c>
      <c r="C2" s="15" t="s">
        <v>87</v>
      </c>
      <c r="D2" s="15" t="s">
        <v>116</v>
      </c>
      <c r="E2" s="15" t="s">
        <v>117</v>
      </c>
      <c r="F2" s="15" t="s">
        <v>118</v>
      </c>
      <c r="G2" s="15" t="s">
        <v>119</v>
      </c>
    </row>
    <row r="3" customFormat="false" ht="15" hidden="false" customHeight="false" outlineLevel="0" collapsed="false">
      <c r="A3" s="15" t="s">
        <v>120</v>
      </c>
      <c r="B3" s="15" t="n">
        <v>5</v>
      </c>
      <c r="C3" s="15" t="s">
        <v>87</v>
      </c>
      <c r="D3" s="15" t="s">
        <v>121</v>
      </c>
      <c r="E3" s="15" t="s">
        <v>122</v>
      </c>
      <c r="F3" s="15" t="s">
        <v>118</v>
      </c>
      <c r="G3" s="15" t="s">
        <v>123</v>
      </c>
    </row>
    <row r="4" customFormat="false" ht="15" hidden="false" customHeight="false" outlineLevel="0" collapsed="false">
      <c r="A4" s="15" t="s">
        <v>120</v>
      </c>
      <c r="B4" s="15" t="n">
        <v>5</v>
      </c>
      <c r="C4" s="15" t="s">
        <v>87</v>
      </c>
      <c r="D4" s="15" t="s">
        <v>124</v>
      </c>
      <c r="E4" s="15" t="s">
        <v>125</v>
      </c>
      <c r="F4" s="15" t="s">
        <v>126</v>
      </c>
      <c r="G4" s="15" t="s">
        <v>119</v>
      </c>
    </row>
    <row r="5" customFormat="false" ht="15" hidden="false" customHeight="false" outlineLevel="0" collapsed="false">
      <c r="A5" s="15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2026-07-16T00:07:38Z</dcterms:created>
  <dc:creator>openpyxl</dc:creator>
  <dc:description/>
  <dc:language>en-US</dc:language>
  <cp:lastModifiedBy/>
  <dcterms:modified xsi:type="dcterms:W3CDTF">2026-07-16T00:07:38Z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